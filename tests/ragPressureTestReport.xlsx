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dexing Performance" sheetId="1" r:id="rId4"/>
    <sheet state="visible" name="2. Query Accuracy" sheetId="2" r:id="rId5"/>
    <sheet state="visible" name="3. Edge Cases" sheetId="3" r:id="rId6"/>
    <sheet state="visible" name="4. Case Study Metrics" sheetId="4" r:id="rId7"/>
  </sheets>
  <definedNames/>
  <calcPr/>
  <extLst>
    <ext uri="GoogleSheetsCustomDataVersion2">
      <go:sheetsCustomData xmlns:go="http://customooxmlschemas.google.com/" r:id="rId8" roundtripDataChecksum="XdunFTp27xMTjAGa8+OKsIuv44uwu6ltDjLfk4zEN9E="/>
    </ext>
  </extLst>
</workbook>
</file>

<file path=xl/sharedStrings.xml><?xml version="1.0" encoding="utf-8"?>
<sst xmlns="http://schemas.openxmlformats.org/spreadsheetml/2006/main" count="149" uniqueCount="118">
  <si>
    <t>RAG Document Assistant — Indexing Performance Log</t>
  </si>
  <si>
    <t>Index documents in 3 batches (5, 10, 15 docs). Record time with a stopwatch. Blue cells = your input.</t>
  </si>
  <si>
    <t>#</t>
  </si>
  <si>
    <t>Filename</t>
  </si>
  <si>
    <t>Type</t>
  </si>
  <si>
    <t>Size (KB)</t>
  </si>
  <si>
    <t>Batch</t>
  </si>
  <si>
    <t>Index Start</t>
  </si>
  <si>
    <t>Index Complete</t>
  </si>
  <si>
    <t>Duration (sec)</t>
  </si>
  <si>
    <t>a_ai_ml_learning.md</t>
  </si>
  <si>
    <t>md</t>
  </si>
  <si>
    <t>Agentic_AI_Stack.md</t>
  </si>
  <si>
    <t>agents-robots-and-us-skill-partnerships-in-the-age-of-ai.pdf</t>
  </si>
  <si>
    <t>pdf</t>
  </si>
  <si>
    <t>ai-radar-2026-web-jan-2026-edit.pdf</t>
  </si>
  <si>
    <t>Algorithms in AI, Stanford.pdf</t>
  </si>
  <si>
    <t>Anthropic_AI_Agents.pdf</t>
  </si>
  <si>
    <t>AWS_AI_Agents.pdf</t>
  </si>
  <si>
    <t>Consolidated.md</t>
  </si>
  <si>
    <t>Decision-Tree.md</t>
  </si>
  <si>
    <t>Final_decision_tree.txt</t>
  </si>
  <si>
    <t>txt</t>
  </si>
  <si>
    <t>Google_AI_Agents.pdf</t>
  </si>
  <si>
    <t>Microsoft_AI_Agents.pdf</t>
  </si>
  <si>
    <t>NVIDIAAn.pdf</t>
  </si>
  <si>
    <t>OpenAI_AI_Agents.pdf</t>
  </si>
  <si>
    <t>verification_activated.txt</t>
  </si>
  <si>
    <t>verification_system_complete.txt</t>
  </si>
  <si>
    <t>Batch Summary</t>
  </si>
  <si>
    <t>Batch 1 (5 docs)</t>
  </si>
  <si>
    <t>Total time (sec):</t>
  </si>
  <si>
    <t>Avg per doc (sec):</t>
  </si>
  <si>
    <t>Batch 2 (10 docs)</t>
  </si>
  <si>
    <t>Batch 3 (15 docs)</t>
  </si>
  <si>
    <t>RAG Document Assistant — Query Accuracy Scorecard</t>
  </si>
  <si>
    <t>Run 10 queries. Score each on latency, citation accuracy, and answer relevance. Blue cells = your input.</t>
  </si>
  <si>
    <t>Citation: 3=Correct  2=Partially correct  1=Wrong  0=No citation  |  Relevance: 3=Fully answers  2=Partial  1=Misses point  0=Hallucination</t>
  </si>
  <si>
    <t>Query Type</t>
  </si>
  <si>
    <t>Query Text</t>
  </si>
  <si>
    <t>Latency (sec)</t>
  </si>
  <si>
    <t>Citation Accuracy (0-3)</t>
  </si>
  <si>
    <t>Answer Relevance (0-3)</t>
  </si>
  <si>
    <t>Hallucination? (Y/N)</t>
  </si>
  <si>
    <t>Source Verified? (Y/N)</t>
  </si>
  <si>
    <t>Notes</t>
  </si>
  <si>
    <t>Factual lookup</t>
  </si>
  <si>
    <t>What are the two key variations of the parallelization workflow pattern according to Anthropic?</t>
  </si>
  <si>
    <t>Cross-document</t>
  </si>
  <si>
    <t>How do Anthropic, OpenAI, and Google each define the distinction between workflows and agents?</t>
  </si>
  <si>
    <t>Synthesis</t>
  </si>
  <si>
    <t>What workforce archetypes are predicted to emerge in the agent-orchestrated enterprise, and how do their roles differ?</t>
  </si>
  <si>
    <t>No-answer (adversarial)</t>
  </si>
  <si>
    <t>What is the maximum token limit for GPT-4 when used in agentic workflows?</t>
  </si>
  <si>
    <t>Vague / broad</t>
  </si>
  <si>
    <t>Explain transformers</t>
  </si>
  <si>
    <t>Specific detail</t>
  </si>
  <si>
    <t>In the Agentic AI Stack, what is the embedding dimensionality for sentence-transformers versus Nomic Embed?</t>
  </si>
  <si>
    <t>Comparison</t>
  </si>
  <si>
    <t>How does the sequential multi-agent pattern differ from the parallel multi-agent pattern in terms of orchestration?</t>
  </si>
  <si>
    <t>Process / how-to</t>
  </si>
  <si>
    <t>What are the five stages in the Claude decision framework for determining whether to build an agentic system?</t>
  </si>
  <si>
    <t>Inference</t>
  </si>
  <si>
    <t>Based on the AI Radar 2026 predictions, what challenges might organizations face when scaling AI agent deployments?</t>
  </si>
  <si>
    <t>Edge case</t>
  </si>
  <si>
    <t>What happens when a multi-agent loop pattern fails to meet its exit condition?</t>
  </si>
  <si>
    <t>SUMMARY</t>
  </si>
  <si>
    <t>Averages</t>
  </si>
  <si>
    <t>Citation accuracy %</t>
  </si>
  <si>
    <t>Hallucination count</t>
  </si>
  <si>
    <t>RAG Document Assistant — Edge Case &amp; Stress Tests</t>
  </si>
  <si>
    <t>Test boundary conditions: out-of-scope queries, multi-doc reasoning, ambiguity handling.</t>
  </si>
  <si>
    <t>Test Scenario</t>
  </si>
  <si>
    <t>Query Used</t>
  </si>
  <si>
    <t>Expected Behavior</t>
  </si>
  <si>
    <t>Actual Behavior</t>
  </si>
  <si>
    <t>Pass/Fail</t>
  </si>
  <si>
    <t>Out-of-scope query</t>
  </si>
  <si>
    <t>What is the best pizza topping for a Friday night dinner party?</t>
  </si>
  <si>
    <t>Declines or states not in docs</t>
  </si>
  <si>
    <t>Multi-document synthesis</t>
  </si>
  <si>
    <t>Compare the guardrail and safety mechanisms recommended by AWS, Microsoft, and NVIDIA for production AI agent deployments.</t>
  </si>
  <si>
    <t>Cites multiple sources</t>
  </si>
  <si>
    <t>Ambiguous query</t>
  </si>
  <si>
    <t>How do agents work?</t>
  </si>
  <si>
    <t>Asks for clarification or best-effort answer</t>
  </si>
  <si>
    <t>Very long query (100+ words)</t>
  </si>
  <si>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</si>
  <si>
    <t>Handles gracefully</t>
  </si>
  <si>
    <t>Single-word query</t>
  </si>
  <si>
    <t>Guardrails</t>
  </si>
  <si>
    <t>Returns relevant or asks clarification</t>
  </si>
  <si>
    <t>Query after Dropbox disconnect</t>
  </si>
  <si>
    <t>Fails gracefully with clear error</t>
  </si>
  <si>
    <t>Pass Rate</t>
  </si>
  <si>
    <t>Metrics Summary for Case Study</t>
  </si>
  <si>
    <t>Auto-populated from other sheets. Copy these numbers into the case study impact section.</t>
  </si>
  <si>
    <t>Metric</t>
  </si>
  <si>
    <t>Value</t>
  </si>
  <si>
    <t>Unit</t>
  </si>
  <si>
    <t>Source</t>
  </si>
  <si>
    <t>Documents indexed</t>
  </si>
  <si>
    <t>docs</t>
  </si>
  <si>
    <t>Sheet 1</t>
  </si>
  <si>
    <t>Avg indexing time per doc</t>
  </si>
  <si>
    <t>sec</t>
  </si>
  <si>
    <t>Calculated</t>
  </si>
  <si>
    <t>Avg query latency</t>
  </si>
  <si>
    <t>Citation accuracy</t>
  </si>
  <si>
    <t>%</t>
  </si>
  <si>
    <t>Answer relevance</t>
  </si>
  <si>
    <t>out of 10</t>
  </si>
  <si>
    <t>Edge case pass rate</t>
  </si>
  <si>
    <t>File types tested</t>
  </si>
  <si>
    <t>types</t>
  </si>
  <si>
    <t>Manual</t>
  </si>
  <si>
    <t>Total corpus size</t>
  </si>
  <si>
    <t>KB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</si>
</sst>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5">
    <font>
      <sz val="11.0"/>
      <color theme="1"/>
      <name val="Calibri"/>
      <scheme val="minor"/>
    </font>
    <font>
      <b/>
      <sz val="14.0"/>
      <color rgb="FF1B2A4A"/>
      <name val="Arial"/>
    </font>
    <font>
      <i/>
      <sz val="9.0"/>
      <color rgb="FF666666"/>
      <name val="Arial"/>
    </font>
    <font>
      <sz val="11.0"/>
      <color theme="1"/>
      <name val="Calibri"/>
    </font>
    <font>
      <b/>
      <sz val="11.0"/>
      <color rgb="FFFFFFFF"/>
      <name val="Arial"/>
    </font>
    <font>
      <sz val="10.0"/>
      <color rgb="FF333333"/>
      <name val="Arial"/>
    </font>
    <font>
      <u/>
      <sz val="10.0"/>
      <color rgb="FF0000FF"/>
      <name val="Arial"/>
    </font>
    <font>
      <sz val="10.0"/>
      <color rgb="FF0000FF"/>
      <name val="Arial"/>
    </font>
    <font>
      <sz val="10.0"/>
      <color rgb="FF006100"/>
      <name val="Arial"/>
    </font>
    <font>
      <b/>
      <sz val="10.0"/>
      <color rgb="FF1B2A4A"/>
      <name val="Arial"/>
    </font>
    <font/>
    <font>
      <sz val="9.0"/>
      <color rgb="FF1B2A4A"/>
      <name val="Arial"/>
    </font>
    <font>
      <color theme="1"/>
      <name val="Arial"/>
    </font>
    <font>
      <sz val="9.0"/>
      <color rgb="FF666666"/>
      <name val="Arial"/>
    </font>
    <font>
      <sz val="9.0"/>
      <color rgb="FF999999"/>
      <name val="Arial"/>
    </font>
  </fonts>
  <fills count="7">
    <fill>
      <patternFill patternType="none"/>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6">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1" fillId="0" fontId="5" numFmtId="0" xfId="0" applyAlignment="1" applyBorder="1" applyFont="1">
      <alignment horizontal="center" shrinkToFit="0" vertical="bottom" wrapText="0"/>
    </xf>
    <xf borderId="1" fillId="3" fontId="6" numFmtId="0" xfId="0" applyAlignment="1" applyBorder="1" applyFill="1" applyFont="1">
      <alignment readingOrder="0" shrinkToFit="0" vertical="bottom" wrapText="0"/>
    </xf>
    <xf borderId="1" fillId="3" fontId="7" numFmtId="0" xfId="0" applyAlignment="1" applyBorder="1" applyFont="1">
      <alignment readingOrder="0" shrinkToFit="0" vertical="bottom" wrapText="0"/>
    </xf>
    <xf borderId="1" fillId="3" fontId="7" numFmtId="0" xfId="0" applyAlignment="1" applyBorder="1" applyFont="1">
      <alignment shrinkToFit="0" vertical="bottom" wrapText="0"/>
    </xf>
    <xf borderId="1" fillId="4" fontId="8" numFmtId="0" xfId="0" applyAlignment="1" applyBorder="1" applyFill="1" applyFont="1">
      <alignment shrinkToFit="0" vertical="bottom" wrapText="0"/>
    </xf>
    <xf borderId="2" fillId="5" fontId="9" numFmtId="0" xfId="0" applyAlignment="1" applyBorder="1" applyFill="1" applyFont="1">
      <alignment shrinkToFit="0" vertical="bottom" wrapText="0"/>
    </xf>
    <xf borderId="3" fillId="0" fontId="10" numFmtId="0" xfId="0" applyBorder="1" applyFont="1"/>
    <xf borderId="4" fillId="0" fontId="10" numFmtId="0" xfId="0" applyBorder="1" applyFont="1"/>
    <xf borderId="1" fillId="5" fontId="3" numFmtId="0" xfId="0" applyAlignment="1" applyBorder="1" applyFont="1">
      <alignment shrinkToFit="0" vertical="bottom" wrapText="0"/>
    </xf>
    <xf borderId="2" fillId="0" fontId="5" numFmtId="0" xfId="0" applyAlignment="1" applyBorder="1" applyFont="1">
      <alignment shrinkToFit="0" vertical="bottom" wrapText="0"/>
    </xf>
    <xf borderId="1" fillId="0" fontId="5" numFmtId="0" xfId="0" applyAlignment="1" applyBorder="1" applyFont="1">
      <alignment shrinkToFit="0" vertical="bottom" wrapText="0"/>
    </xf>
    <xf borderId="1" fillId="0" fontId="3" numFmtId="0" xfId="0" applyAlignment="1" applyBorder="1" applyFont="1">
      <alignment shrinkToFit="0" vertical="bottom" wrapText="0"/>
    </xf>
    <xf borderId="0" fillId="0" fontId="1" numFmtId="0" xfId="0" applyAlignment="1" applyFont="1">
      <alignment shrinkToFit="0" vertical="bottom" wrapText="0"/>
    </xf>
    <xf borderId="2" fillId="6" fontId="11" numFmtId="0" xfId="0" applyAlignment="1" applyBorder="1" applyFill="1" applyFont="1">
      <alignment shrinkToFit="0" vertical="bottom" wrapText="0"/>
    </xf>
    <xf borderId="5" fillId="0" fontId="10" numFmtId="0" xfId="0" applyBorder="1" applyFont="1"/>
    <xf borderId="0" fillId="0" fontId="12" numFmtId="0" xfId="0" applyAlignment="1" applyFont="1">
      <alignment shrinkToFit="0" vertical="bottom" wrapText="1"/>
    </xf>
    <xf borderId="1" fillId="3" fontId="7" numFmtId="0" xfId="0" applyAlignment="1" applyBorder="1" applyFont="1">
      <alignment horizontal="center" shrinkToFit="0" vertical="bottom" wrapText="0"/>
    </xf>
    <xf borderId="1" fillId="4" fontId="8" numFmtId="164" xfId="0" applyAlignment="1" applyBorder="1" applyFont="1" applyNumberFormat="1">
      <alignment shrinkToFit="0" vertical="bottom" wrapText="0"/>
    </xf>
    <xf borderId="1" fillId="4" fontId="8" numFmtId="165" xfId="0" applyAlignment="1" applyBorder="1" applyFont="1" applyNumberFormat="1">
      <alignment shrinkToFit="0" vertical="bottom" wrapText="0"/>
    </xf>
    <xf borderId="0" fillId="0" fontId="12" numFmtId="0" xfId="0" applyAlignment="1" applyFont="1">
      <alignment vertical="bottom"/>
    </xf>
    <xf borderId="1" fillId="0" fontId="13" numFmtId="0" xfId="0" applyAlignment="1" applyBorder="1" applyFont="1">
      <alignment shrinkToFit="0" vertical="bottom" wrapText="0"/>
    </xf>
    <xf borderId="1" fillId="5" fontId="8" numFmtId="165" xfId="0" applyAlignment="1" applyBorder="1" applyFont="1" applyNumberFormat="1">
      <alignment shrinkToFit="0" vertical="bottom" wrapText="0"/>
    </xf>
    <xf borderId="1" fillId="2" fontId="4" numFmtId="0" xfId="0" applyAlignment="1" applyBorder="1" applyFont="1">
      <alignment horizontal="center" shrinkToFit="0" vertical="center" wrapText="0"/>
    </xf>
    <xf borderId="1" fillId="0" fontId="14" numFmtId="0" xfId="0" applyAlignment="1" applyBorder="1" applyFont="1">
      <alignment horizontal="center" shrinkToFit="0" vertical="bottom" wrapText="0"/>
    </xf>
    <xf borderId="1" fillId="4" fontId="8" numFmtId="0" xfId="0" applyAlignment="1" applyBorder="1" applyFont="1">
      <alignment horizontal="center" shrinkToFit="0" vertical="bottom" wrapText="0"/>
    </xf>
    <xf borderId="1" fillId="4" fontId="8" numFmtId="165" xfId="0" applyAlignment="1" applyBorder="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_ai_ml_learning.md" TargetMode="External"/><Relationship Id="rId2" Type="http://schemas.openxmlformats.org/officeDocument/2006/relationships/hyperlink" Target="http://agentic_ai_stack.md" TargetMode="External"/><Relationship Id="rId3" Type="http://schemas.openxmlformats.org/officeDocument/2006/relationships/hyperlink" Target="http://consolidated.md" TargetMode="External"/><Relationship Id="rId4" Type="http://schemas.openxmlformats.org/officeDocument/2006/relationships/hyperlink" Target="http://decision-tree.md"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A"/>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0.0"/>
    <col customWidth="1" min="3" max="3" width="8.0"/>
    <col customWidth="1" min="4" max="4" width="12.0"/>
    <col customWidth="1" min="5" max="5" width="10.0"/>
    <col customWidth="1" min="6" max="6" width="16.57"/>
    <col customWidth="1" min="7" max="8" width="14.0"/>
    <col customWidth="1" min="9" max="26" width="8.71"/>
  </cols>
  <sheetData>
    <row r="1" ht="30.0" customHeight="1">
      <c r="A1" s="1" t="s">
        <v>0</v>
      </c>
    </row>
    <row r="2" ht="15.0" customHeight="1">
      <c r="A2" s="2" t="s">
        <v>1</v>
      </c>
    </row>
    <row r="3">
      <c r="A3" s="3"/>
      <c r="B3" s="3"/>
      <c r="C3" s="3"/>
      <c r="D3" s="3"/>
      <c r="E3" s="3"/>
      <c r="F3" s="3"/>
      <c r="G3" s="3"/>
      <c r="H3" s="3"/>
    </row>
    <row r="4" ht="30.0" customHeight="1">
      <c r="A4" s="4" t="s">
        <v>2</v>
      </c>
      <c r="B4" s="4" t="s">
        <v>3</v>
      </c>
      <c r="C4" s="4" t="s">
        <v>4</v>
      </c>
      <c r="D4" s="4" t="s">
        <v>5</v>
      </c>
      <c r="E4" s="4" t="s">
        <v>6</v>
      </c>
      <c r="F4" s="4" t="s">
        <v>7</v>
      </c>
      <c r="G4" s="4" t="s">
        <v>8</v>
      </c>
      <c r="H4" s="4" t="s">
        <v>9</v>
      </c>
    </row>
    <row r="5" ht="15.0" customHeight="1">
      <c r="A5" s="5">
        <v>1.0</v>
      </c>
      <c r="B5" s="6" t="s">
        <v>10</v>
      </c>
      <c r="C5" s="7" t="s">
        <v>11</v>
      </c>
      <c r="D5" s="7">
        <v>67.44</v>
      </c>
      <c r="E5" s="8"/>
      <c r="F5" s="8"/>
      <c r="G5" s="8"/>
      <c r="H5" s="9"/>
    </row>
    <row r="6" ht="15.0" customHeight="1">
      <c r="A6" s="5">
        <v>2.0</v>
      </c>
      <c r="B6" s="6" t="s">
        <v>12</v>
      </c>
      <c r="C6" s="7" t="s">
        <v>11</v>
      </c>
      <c r="D6" s="7">
        <v>13.58</v>
      </c>
      <c r="E6" s="8"/>
      <c r="F6" s="8"/>
      <c r="G6" s="8"/>
      <c r="H6" s="9"/>
    </row>
    <row r="7" ht="15.0" customHeight="1">
      <c r="A7" s="5">
        <v>3.0</v>
      </c>
      <c r="B7" s="7" t="s">
        <v>13</v>
      </c>
      <c r="C7" s="7" t="s">
        <v>14</v>
      </c>
      <c r="D7" s="7">
        <v>8040.22</v>
      </c>
      <c r="E7" s="8"/>
      <c r="F7" s="8"/>
      <c r="G7" s="8"/>
      <c r="H7" s="9"/>
    </row>
    <row r="8" ht="15.0" customHeight="1">
      <c r="A8" s="5">
        <v>4.0</v>
      </c>
      <c r="B8" s="7" t="s">
        <v>15</v>
      </c>
      <c r="C8" s="7" t="s">
        <v>14</v>
      </c>
      <c r="D8" s="7">
        <v>521.29</v>
      </c>
      <c r="E8" s="8"/>
      <c r="F8" s="8"/>
      <c r="G8" s="8"/>
      <c r="H8" s="9"/>
    </row>
    <row r="9" ht="15.0" customHeight="1">
      <c r="A9" s="5">
        <v>5.0</v>
      </c>
      <c r="B9" s="7" t="s">
        <v>16</v>
      </c>
      <c r="C9" s="7" t="s">
        <v>14</v>
      </c>
      <c r="D9" s="7">
        <v>525.57</v>
      </c>
      <c r="E9" s="8"/>
      <c r="F9" s="8"/>
      <c r="G9" s="8"/>
      <c r="H9" s="9"/>
    </row>
    <row r="10" ht="15.0" customHeight="1">
      <c r="A10" s="5">
        <v>6.0</v>
      </c>
      <c r="B10" s="7" t="s">
        <v>17</v>
      </c>
      <c r="C10" s="7" t="s">
        <v>14</v>
      </c>
      <c r="D10" s="7">
        <v>1642.12</v>
      </c>
      <c r="E10" s="8"/>
      <c r="F10" s="8"/>
      <c r="G10" s="8"/>
      <c r="H10" s="9"/>
    </row>
    <row r="11" ht="15.0" customHeight="1">
      <c r="A11" s="5">
        <v>7.0</v>
      </c>
      <c r="B11" s="7" t="s">
        <v>18</v>
      </c>
      <c r="C11" s="7" t="s">
        <v>14</v>
      </c>
      <c r="D11" s="7">
        <v>5615.29</v>
      </c>
      <c r="E11" s="8"/>
      <c r="F11" s="8"/>
      <c r="G11" s="8"/>
      <c r="H11" s="9"/>
    </row>
    <row r="12" ht="15.0" customHeight="1">
      <c r="A12" s="5">
        <v>8.0</v>
      </c>
      <c r="B12" s="6" t="s">
        <v>19</v>
      </c>
      <c r="C12" s="7" t="s">
        <v>11</v>
      </c>
      <c r="D12" s="7">
        <v>15.21</v>
      </c>
      <c r="E12" s="8"/>
      <c r="F12" s="8"/>
      <c r="G12" s="8"/>
      <c r="H12" s="9"/>
    </row>
    <row r="13" ht="15.0" customHeight="1">
      <c r="A13" s="5">
        <v>9.0</v>
      </c>
      <c r="B13" s="6" t="s">
        <v>20</v>
      </c>
      <c r="C13" s="7" t="s">
        <v>11</v>
      </c>
      <c r="D13" s="7">
        <v>51.48</v>
      </c>
      <c r="E13" s="8"/>
      <c r="F13" s="8"/>
      <c r="G13" s="8"/>
      <c r="H13" s="9"/>
    </row>
    <row r="14" ht="15.0" customHeight="1">
      <c r="A14" s="5">
        <v>10.0</v>
      </c>
      <c r="B14" s="7" t="s">
        <v>21</v>
      </c>
      <c r="C14" s="7" t="s">
        <v>22</v>
      </c>
      <c r="D14" s="7">
        <v>7.53</v>
      </c>
      <c r="E14" s="8"/>
      <c r="F14" s="8"/>
      <c r="G14" s="8"/>
      <c r="H14" s="9"/>
    </row>
    <row r="15" ht="15.0" customHeight="1">
      <c r="A15" s="5">
        <v>11.0</v>
      </c>
      <c r="B15" s="7" t="s">
        <v>23</v>
      </c>
      <c r="C15" s="7" t="s">
        <v>14</v>
      </c>
      <c r="D15" s="7">
        <v>1280.68</v>
      </c>
      <c r="E15" s="8"/>
      <c r="F15" s="8"/>
      <c r="G15" s="8"/>
      <c r="H15" s="9"/>
    </row>
    <row r="16" ht="15.0" customHeight="1">
      <c r="A16" s="5">
        <v>12.0</v>
      </c>
      <c r="B16" s="7" t="s">
        <v>24</v>
      </c>
      <c r="C16" s="7" t="s">
        <v>14</v>
      </c>
      <c r="D16" s="7">
        <v>6627.21</v>
      </c>
      <c r="E16" s="8"/>
      <c r="F16" s="8"/>
      <c r="G16" s="8"/>
      <c r="H16" s="9"/>
    </row>
    <row r="17" ht="15.0" customHeight="1">
      <c r="A17" s="5">
        <v>13.0</v>
      </c>
      <c r="B17" s="7" t="s">
        <v>25</v>
      </c>
      <c r="C17" s="7" t="s">
        <v>14</v>
      </c>
      <c r="D17" s="7">
        <v>88.43</v>
      </c>
      <c r="E17" s="8"/>
      <c r="F17" s="8"/>
      <c r="G17" s="8"/>
      <c r="H17" s="9"/>
    </row>
    <row r="18" ht="15.0" customHeight="1">
      <c r="A18" s="5">
        <v>14.0</v>
      </c>
      <c r="B18" s="7" t="s">
        <v>26</v>
      </c>
      <c r="C18" s="7" t="s">
        <v>14</v>
      </c>
      <c r="D18" s="7">
        <v>1331.63</v>
      </c>
      <c r="E18" s="8"/>
      <c r="F18" s="8"/>
      <c r="G18" s="8"/>
      <c r="H18" s="9"/>
    </row>
    <row r="19" ht="15.0" customHeight="1">
      <c r="A19" s="5">
        <v>15.0</v>
      </c>
      <c r="B19" s="7" t="s">
        <v>27</v>
      </c>
      <c r="C19" s="7" t="s">
        <v>22</v>
      </c>
      <c r="D19" s="7">
        <v>3.62</v>
      </c>
      <c r="E19" s="8"/>
      <c r="F19" s="8"/>
      <c r="G19" s="8"/>
      <c r="H19" s="9"/>
    </row>
    <row r="20" ht="15.0" customHeight="1">
      <c r="A20" s="5">
        <v>16.0</v>
      </c>
      <c r="B20" s="7" t="s">
        <v>28</v>
      </c>
      <c r="C20" s="7" t="s">
        <v>22</v>
      </c>
      <c r="D20" s="7">
        <v>7.28</v>
      </c>
      <c r="E20" s="8"/>
      <c r="F20" s="8"/>
      <c r="G20" s="8"/>
      <c r="H20" s="9"/>
    </row>
    <row r="21" ht="15.75" customHeight="1">
      <c r="A21" s="3"/>
      <c r="B21" s="3"/>
      <c r="C21" s="3"/>
      <c r="D21" s="3"/>
      <c r="E21" s="3"/>
      <c r="F21" s="3"/>
      <c r="G21" s="3"/>
      <c r="H21" s="3"/>
    </row>
    <row r="22" ht="15.0" customHeight="1">
      <c r="A22" s="10" t="s">
        <v>29</v>
      </c>
      <c r="B22" s="11"/>
      <c r="C22" s="12"/>
      <c r="D22" s="13"/>
      <c r="E22" s="13"/>
      <c r="F22" s="13"/>
      <c r="G22" s="13"/>
      <c r="H22" s="13"/>
    </row>
    <row r="23" ht="15.0" customHeight="1">
      <c r="A23" s="14" t="s">
        <v>30</v>
      </c>
      <c r="B23" s="11"/>
      <c r="C23" s="12"/>
      <c r="D23" s="15" t="s">
        <v>31</v>
      </c>
      <c r="E23" s="8"/>
      <c r="F23" s="15" t="s">
        <v>32</v>
      </c>
      <c r="G23" s="9" t="str">
        <f>IF(E23&gt;0,E23/5,"")</f>
        <v/>
      </c>
      <c r="H23" s="16"/>
    </row>
    <row r="24" ht="15.0" customHeight="1">
      <c r="A24" s="14" t="s">
        <v>33</v>
      </c>
      <c r="B24" s="11"/>
      <c r="C24" s="12"/>
      <c r="D24" s="15" t="s">
        <v>31</v>
      </c>
      <c r="E24" s="8"/>
      <c r="F24" s="15" t="s">
        <v>32</v>
      </c>
      <c r="G24" s="9" t="str">
        <f>IF(E24&gt;0,E24/10,"")</f>
        <v/>
      </c>
      <c r="H24" s="16"/>
    </row>
    <row r="25" ht="15.0" customHeight="1">
      <c r="A25" s="14" t="s">
        <v>34</v>
      </c>
      <c r="B25" s="11"/>
      <c r="C25" s="12"/>
      <c r="D25" s="15" t="s">
        <v>31</v>
      </c>
      <c r="E25" s="8"/>
      <c r="F25" s="15" t="s">
        <v>32</v>
      </c>
      <c r="G25" s="9" t="str">
        <f>IF(E25&gt;0,E25/15,"")</f>
        <v/>
      </c>
      <c r="H25" s="16"/>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6">
    <mergeCell ref="A1:H1"/>
    <mergeCell ref="A2:H2"/>
    <mergeCell ref="A22:C22"/>
    <mergeCell ref="A23:C23"/>
    <mergeCell ref="A24:C24"/>
    <mergeCell ref="A25:C25"/>
  </mergeCells>
  <hyperlinks>
    <hyperlink r:id="rId1" ref="B5"/>
    <hyperlink r:id="rId2" ref="B6"/>
    <hyperlink r:id="rId3" ref="B12"/>
    <hyperlink r:id="rId4" ref="B13"/>
  </hyperlinks>
  <printOptions/>
  <pageMargins bottom="1.0" footer="0.0" header="0.0" left="0.75" right="0.75" top="1.0"/>
  <pageSetup paperSize="9"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20.0"/>
    <col customWidth="1" min="3" max="3" width="42.0"/>
    <col customWidth="1" min="4" max="4" width="14.0"/>
    <col customWidth="1" min="5" max="6" width="18.0"/>
    <col customWidth="1" min="7" max="8" width="16.0"/>
    <col customWidth="1" min="9" max="9" width="25.0"/>
    <col customWidth="1" min="10" max="26" width="8.71"/>
  </cols>
  <sheetData>
    <row r="1" ht="30.0" customHeight="1">
      <c r="A1" s="17" t="s">
        <v>35</v>
      </c>
    </row>
    <row r="2" ht="15.0" customHeight="1">
      <c r="A2" s="2" t="s">
        <v>36</v>
      </c>
    </row>
    <row r="3" ht="15.0" customHeight="1">
      <c r="A3" s="18" t="s">
        <v>37</v>
      </c>
      <c r="B3" s="11"/>
      <c r="C3" s="11"/>
      <c r="D3" s="11"/>
      <c r="E3" s="11"/>
      <c r="F3" s="11"/>
      <c r="G3" s="11"/>
      <c r="H3" s="11"/>
      <c r="I3" s="19"/>
    </row>
    <row r="4">
      <c r="A4" s="3"/>
      <c r="B4" s="3"/>
      <c r="C4" s="3"/>
      <c r="D4" s="3"/>
      <c r="E4" s="3"/>
      <c r="F4" s="3"/>
      <c r="G4" s="3"/>
      <c r="H4" s="3"/>
      <c r="I4" s="3"/>
    </row>
    <row r="5" ht="36.0" customHeight="1">
      <c r="A5" s="4" t="s">
        <v>2</v>
      </c>
      <c r="B5" s="4" t="s">
        <v>38</v>
      </c>
      <c r="C5" s="4" t="s">
        <v>39</v>
      </c>
      <c r="D5" s="4" t="s">
        <v>40</v>
      </c>
      <c r="E5" s="4" t="s">
        <v>41</v>
      </c>
      <c r="F5" s="4" t="s">
        <v>42</v>
      </c>
      <c r="G5" s="4" t="s">
        <v>43</v>
      </c>
      <c r="H5" s="4" t="s">
        <v>44</v>
      </c>
      <c r="I5" s="4" t="s">
        <v>45</v>
      </c>
    </row>
    <row r="6" ht="27.75" customHeight="1">
      <c r="A6" s="5">
        <v>1.0</v>
      </c>
      <c r="B6" s="15" t="s">
        <v>46</v>
      </c>
      <c r="C6" s="20" t="s">
        <v>47</v>
      </c>
      <c r="D6" s="21"/>
      <c r="E6" s="21"/>
      <c r="F6" s="21"/>
      <c r="G6" s="21"/>
      <c r="H6" s="21"/>
      <c r="I6" s="21"/>
    </row>
    <row r="7" ht="27.75" customHeight="1">
      <c r="A7" s="5">
        <v>2.0</v>
      </c>
      <c r="B7" s="15" t="s">
        <v>48</v>
      </c>
      <c r="C7" s="20" t="s">
        <v>49</v>
      </c>
      <c r="D7" s="21"/>
      <c r="E7" s="21"/>
      <c r="F7" s="21"/>
      <c r="G7" s="21"/>
      <c r="H7" s="21"/>
      <c r="I7" s="21"/>
    </row>
    <row r="8" ht="27.75" customHeight="1">
      <c r="A8" s="5">
        <v>3.0</v>
      </c>
      <c r="B8" s="15" t="s">
        <v>50</v>
      </c>
      <c r="C8" s="20" t="s">
        <v>51</v>
      </c>
      <c r="D8" s="21"/>
      <c r="E8" s="21"/>
      <c r="F8" s="21"/>
      <c r="G8" s="21"/>
      <c r="H8" s="21"/>
      <c r="I8" s="21"/>
    </row>
    <row r="9" ht="27.75" customHeight="1">
      <c r="A9" s="5">
        <v>4.0</v>
      </c>
      <c r="B9" s="15" t="s">
        <v>52</v>
      </c>
      <c r="C9" s="20" t="s">
        <v>53</v>
      </c>
      <c r="D9" s="21"/>
      <c r="E9" s="21"/>
      <c r="F9" s="21"/>
      <c r="G9" s="21"/>
      <c r="H9" s="21"/>
      <c r="I9" s="21"/>
    </row>
    <row r="10" ht="27.75" customHeight="1">
      <c r="A10" s="5">
        <v>5.0</v>
      </c>
      <c r="B10" s="15" t="s">
        <v>54</v>
      </c>
      <c r="C10" s="20" t="s">
        <v>55</v>
      </c>
      <c r="D10" s="21"/>
      <c r="E10" s="21"/>
      <c r="F10" s="21"/>
      <c r="G10" s="21"/>
      <c r="H10" s="21"/>
      <c r="I10" s="21"/>
    </row>
    <row r="11" ht="27.75" customHeight="1">
      <c r="A11" s="5">
        <v>6.0</v>
      </c>
      <c r="B11" s="15" t="s">
        <v>56</v>
      </c>
      <c r="C11" s="20" t="s">
        <v>57</v>
      </c>
      <c r="D11" s="21"/>
      <c r="E11" s="21"/>
      <c r="F11" s="21"/>
      <c r="G11" s="21"/>
      <c r="H11" s="21"/>
      <c r="I11" s="21"/>
    </row>
    <row r="12" ht="27.75" customHeight="1">
      <c r="A12" s="5">
        <v>7.0</v>
      </c>
      <c r="B12" s="15" t="s">
        <v>58</v>
      </c>
      <c r="C12" s="20" t="s">
        <v>59</v>
      </c>
      <c r="D12" s="21"/>
      <c r="E12" s="21"/>
      <c r="F12" s="21"/>
      <c r="G12" s="21"/>
      <c r="H12" s="21"/>
      <c r="I12" s="21"/>
    </row>
    <row r="13" ht="27.75" customHeight="1">
      <c r="A13" s="5">
        <v>8.0</v>
      </c>
      <c r="B13" s="15" t="s">
        <v>60</v>
      </c>
      <c r="C13" s="20" t="s">
        <v>61</v>
      </c>
      <c r="D13" s="21"/>
      <c r="E13" s="21"/>
      <c r="F13" s="21"/>
      <c r="G13" s="21"/>
      <c r="H13" s="21"/>
      <c r="I13" s="21"/>
    </row>
    <row r="14" ht="27.75" customHeight="1">
      <c r="A14" s="5">
        <v>9.0</v>
      </c>
      <c r="B14" s="15" t="s">
        <v>62</v>
      </c>
      <c r="C14" s="20" t="s">
        <v>63</v>
      </c>
      <c r="D14" s="21"/>
      <c r="E14" s="21"/>
      <c r="F14" s="21"/>
      <c r="G14" s="21"/>
      <c r="H14" s="21"/>
      <c r="I14" s="21"/>
    </row>
    <row r="15" ht="27.75" customHeight="1">
      <c r="A15" s="5">
        <v>10.0</v>
      </c>
      <c r="B15" s="15" t="s">
        <v>64</v>
      </c>
      <c r="C15" s="20" t="s">
        <v>65</v>
      </c>
      <c r="D15" s="21"/>
      <c r="E15" s="21"/>
      <c r="F15" s="21"/>
      <c r="G15" s="21"/>
      <c r="H15" s="21"/>
      <c r="I15" s="21"/>
    </row>
    <row r="16">
      <c r="A16" s="3"/>
      <c r="B16" s="3"/>
      <c r="C16" s="3"/>
      <c r="D16" s="3"/>
      <c r="E16" s="3"/>
      <c r="F16" s="3"/>
      <c r="G16" s="3"/>
      <c r="H16" s="3"/>
      <c r="I16" s="3"/>
    </row>
    <row r="17" ht="15.0" customHeight="1">
      <c r="A17" s="10" t="s">
        <v>66</v>
      </c>
      <c r="B17" s="12"/>
      <c r="C17" s="13"/>
      <c r="D17" s="13"/>
      <c r="E17" s="13"/>
      <c r="F17" s="13"/>
      <c r="G17" s="13"/>
      <c r="H17" s="13"/>
      <c r="I17" s="13"/>
    </row>
    <row r="18" ht="15.0" customHeight="1">
      <c r="A18" s="14" t="s">
        <v>67</v>
      </c>
      <c r="B18" s="12"/>
      <c r="C18" s="16"/>
      <c r="D18" s="22" t="str">
        <f t="shared" ref="D18:F18" si="1">IF(COUNT(D6:D15)&gt;0, AVERAGE(D6:D15), "")</f>
        <v/>
      </c>
      <c r="E18" s="22" t="str">
        <f t="shared" si="1"/>
        <v/>
      </c>
      <c r="F18" s="22" t="str">
        <f t="shared" si="1"/>
        <v/>
      </c>
      <c r="G18" s="16"/>
      <c r="H18" s="16"/>
      <c r="I18" s="16"/>
    </row>
    <row r="19" ht="15.0" customHeight="1">
      <c r="A19" s="14" t="s">
        <v>68</v>
      </c>
      <c r="B19" s="12"/>
      <c r="C19" s="16"/>
      <c r="D19" s="16"/>
      <c r="E19" s="23" t="str">
        <f t="shared" ref="E19:F19" si="2">IF(COUNT(E6:E15)&gt;0, AVERAGE(E6:E15)/3*100, "")</f>
        <v/>
      </c>
      <c r="F19" s="23" t="str">
        <f t="shared" si="2"/>
        <v/>
      </c>
      <c r="G19" s="16"/>
      <c r="H19" s="16"/>
      <c r="I19" s="16"/>
    </row>
    <row r="20" ht="15.0" customHeight="1">
      <c r="A20" s="14" t="s">
        <v>69</v>
      </c>
      <c r="B20" s="12"/>
      <c r="C20" s="16"/>
      <c r="D20" s="16"/>
      <c r="E20" s="16"/>
      <c r="F20" s="16"/>
      <c r="G20" s="9">
        <f>COUNTIF(G6:G15,"Y")</f>
        <v>0</v>
      </c>
      <c r="H20" s="16"/>
      <c r="I20" s="16"/>
    </row>
    <row r="21" ht="15.75" customHeight="1">
      <c r="A21" s="3"/>
      <c r="B21" s="3"/>
      <c r="C21" s="3"/>
      <c r="D21" s="3"/>
      <c r="E21" s="3"/>
      <c r="F21" s="3"/>
      <c r="G21" s="3"/>
      <c r="H21" s="3"/>
      <c r="I21" s="3"/>
    </row>
    <row r="22" ht="15.75" customHeight="1">
      <c r="A22" s="3"/>
      <c r="B22" s="3"/>
      <c r="C22" s="3"/>
      <c r="D22" s="3"/>
      <c r="E22" s="3"/>
      <c r="F22" s="3"/>
      <c r="G22" s="3"/>
      <c r="H22" s="3"/>
      <c r="I22" s="3"/>
    </row>
    <row r="23" ht="15.75" customHeight="1">
      <c r="A23" s="3"/>
      <c r="B23" s="3"/>
      <c r="C23" s="3"/>
      <c r="D23" s="3"/>
      <c r="E23" s="3"/>
      <c r="F23" s="3"/>
      <c r="G23" s="3"/>
      <c r="H23" s="3"/>
      <c r="I23" s="3"/>
    </row>
    <row r="24" ht="15.75" customHeight="1">
      <c r="A24" s="3"/>
      <c r="B24" s="3"/>
      <c r="C24" s="3"/>
      <c r="D24" s="3"/>
      <c r="E24" s="3"/>
      <c r="F24" s="3"/>
      <c r="G24" s="3"/>
      <c r="H24" s="3"/>
      <c r="I24" s="3"/>
    </row>
    <row r="25" ht="15.75" customHeight="1">
      <c r="A25" s="3"/>
      <c r="B25" s="3"/>
      <c r="C25" s="3"/>
      <c r="D25" s="3"/>
      <c r="E25" s="3"/>
      <c r="F25" s="3"/>
      <c r="G25" s="3"/>
      <c r="H25" s="3"/>
      <c r="I25" s="3"/>
    </row>
    <row r="26" ht="15.75" customHeight="1">
      <c r="A26" s="3"/>
      <c r="B26" s="3"/>
      <c r="C26" s="3"/>
      <c r="D26" s="3"/>
      <c r="E26" s="3"/>
      <c r="F26" s="3"/>
      <c r="G26" s="3"/>
      <c r="H26" s="3"/>
      <c r="I26" s="3"/>
    </row>
    <row r="27" ht="15.75" customHeight="1">
      <c r="A27" s="3"/>
      <c r="B27" s="3"/>
      <c r="C27" s="3"/>
      <c r="D27" s="3"/>
      <c r="E27" s="3"/>
      <c r="F27" s="3"/>
      <c r="G27" s="3"/>
      <c r="H27" s="3"/>
      <c r="I27" s="3"/>
    </row>
    <row r="28" ht="15.75" customHeight="1">
      <c r="A28" s="3"/>
      <c r="B28" s="3"/>
      <c r="C28" s="3"/>
      <c r="D28" s="3"/>
      <c r="E28" s="3"/>
      <c r="F28" s="3"/>
      <c r="G28" s="3"/>
      <c r="H28" s="3"/>
      <c r="I28" s="3"/>
    </row>
    <row r="29" ht="15.75" customHeight="1">
      <c r="A29" s="3"/>
      <c r="B29" s="3"/>
      <c r="C29" s="3"/>
      <c r="D29" s="3"/>
      <c r="E29" s="3"/>
      <c r="F29" s="3"/>
      <c r="G29" s="3"/>
      <c r="H29" s="3"/>
      <c r="I29" s="3"/>
    </row>
    <row r="30" ht="15.75" customHeight="1">
      <c r="A30" s="3"/>
      <c r="B30" s="3"/>
      <c r="C30" s="3"/>
      <c r="D30" s="3"/>
      <c r="E30" s="3"/>
      <c r="F30" s="3"/>
      <c r="G30" s="3"/>
      <c r="H30" s="3"/>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7">
    <mergeCell ref="A1:I1"/>
    <mergeCell ref="A2:I2"/>
    <mergeCell ref="A3:I3"/>
    <mergeCell ref="A17:B17"/>
    <mergeCell ref="A18:B18"/>
    <mergeCell ref="A19:B19"/>
    <mergeCell ref="A20:B2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8.0"/>
    <col customWidth="1" min="3" max="3" width="32.0"/>
    <col customWidth="1" min="4" max="5" width="30.0"/>
    <col customWidth="1" min="6" max="6" width="12.0"/>
    <col customWidth="1" min="7" max="7" width="25.0"/>
    <col customWidth="1" min="8" max="26" width="8.71"/>
  </cols>
  <sheetData>
    <row r="1" ht="30.0" customHeight="1">
      <c r="A1" s="17" t="s">
        <v>70</v>
      </c>
    </row>
    <row r="2" ht="15.0" customHeight="1">
      <c r="A2" s="2" t="s">
        <v>71</v>
      </c>
    </row>
    <row r="3">
      <c r="A3" s="3"/>
      <c r="B3" s="3"/>
      <c r="C3" s="3"/>
      <c r="D3" s="3"/>
      <c r="E3" s="3"/>
      <c r="F3" s="3"/>
      <c r="G3" s="3"/>
    </row>
    <row r="4" ht="30.0" customHeight="1">
      <c r="A4" s="4" t="s">
        <v>2</v>
      </c>
      <c r="B4" s="4" t="s">
        <v>72</v>
      </c>
      <c r="C4" s="4" t="s">
        <v>73</v>
      </c>
      <c r="D4" s="4" t="s">
        <v>74</v>
      </c>
      <c r="E4" s="4" t="s">
        <v>75</v>
      </c>
      <c r="F4" s="4" t="s">
        <v>76</v>
      </c>
      <c r="G4" s="4" t="s">
        <v>45</v>
      </c>
    </row>
    <row r="5" ht="27.75" customHeight="1">
      <c r="A5" s="5">
        <v>1.0</v>
      </c>
      <c r="B5" s="15" t="s">
        <v>77</v>
      </c>
      <c r="C5" s="24" t="s">
        <v>78</v>
      </c>
      <c r="D5" s="25" t="s">
        <v>79</v>
      </c>
      <c r="E5" s="8"/>
      <c r="F5" s="21"/>
      <c r="G5" s="8"/>
    </row>
    <row r="6" ht="27.75" customHeight="1">
      <c r="A6" s="5">
        <v>2.0</v>
      </c>
      <c r="B6" s="15" t="s">
        <v>80</v>
      </c>
      <c r="C6" s="24" t="s">
        <v>81</v>
      </c>
      <c r="D6" s="25" t="s">
        <v>82</v>
      </c>
      <c r="E6" s="8"/>
      <c r="F6" s="21"/>
      <c r="G6" s="8"/>
    </row>
    <row r="7" ht="27.75" customHeight="1">
      <c r="A7" s="5">
        <v>3.0</v>
      </c>
      <c r="B7" s="15" t="s">
        <v>83</v>
      </c>
      <c r="C7" s="24" t="s">
        <v>84</v>
      </c>
      <c r="D7" s="25" t="s">
        <v>85</v>
      </c>
      <c r="E7" s="8"/>
      <c r="F7" s="21"/>
      <c r="G7" s="8"/>
    </row>
    <row r="8" ht="27.75" customHeight="1">
      <c r="A8" s="5">
        <v>4.0</v>
      </c>
      <c r="B8" s="15" t="s">
        <v>86</v>
      </c>
      <c r="C8" s="24" t="s">
        <v>87</v>
      </c>
      <c r="D8" s="25" t="s">
        <v>88</v>
      </c>
      <c r="E8" s="8"/>
      <c r="F8" s="21"/>
      <c r="G8" s="8"/>
    </row>
    <row r="9" ht="27.75" customHeight="1">
      <c r="A9" s="5">
        <v>5.0</v>
      </c>
      <c r="B9" s="15" t="s">
        <v>89</v>
      </c>
      <c r="C9" s="24" t="s">
        <v>90</v>
      </c>
      <c r="D9" s="25" t="s">
        <v>91</v>
      </c>
      <c r="E9" s="8"/>
      <c r="F9" s="21"/>
      <c r="G9" s="8"/>
    </row>
    <row r="10" ht="27.75" customHeight="1">
      <c r="A10" s="5">
        <v>6.0</v>
      </c>
      <c r="B10" s="15" t="s">
        <v>92</v>
      </c>
      <c r="C10" s="8" t="s">
        <v>84</v>
      </c>
      <c r="D10" s="25" t="s">
        <v>93</v>
      </c>
      <c r="E10" s="8"/>
      <c r="F10" s="21"/>
      <c r="G10" s="8"/>
    </row>
    <row r="11">
      <c r="A11" s="3"/>
      <c r="B11" s="3"/>
      <c r="C11" s="3"/>
      <c r="D11" s="3"/>
      <c r="E11" s="3"/>
      <c r="F11" s="3"/>
      <c r="G11" s="3"/>
    </row>
    <row r="12" ht="15.0" customHeight="1">
      <c r="A12" s="10" t="s">
        <v>94</v>
      </c>
      <c r="B12" s="12"/>
      <c r="C12" s="13"/>
      <c r="D12" s="13"/>
      <c r="E12" s="13"/>
      <c r="F12" s="26" t="str">
        <f>IF(COUNTA(F5:F10)&gt;0, COUNTIF(F5:F10,"Pass")/COUNTA(F5:F10)*100, "")</f>
        <v/>
      </c>
      <c r="G12" s="13"/>
    </row>
    <row r="13">
      <c r="A13" s="3"/>
      <c r="B13" s="3"/>
      <c r="C13" s="3"/>
      <c r="D13" s="3"/>
      <c r="E13" s="3"/>
      <c r="F13" s="3"/>
      <c r="G13" s="3"/>
    </row>
    <row r="14">
      <c r="A14" s="3"/>
      <c r="B14" s="3"/>
      <c r="C14" s="3"/>
      <c r="D14" s="3"/>
      <c r="E14" s="3"/>
      <c r="F14" s="3"/>
      <c r="G14" s="3"/>
    </row>
    <row r="15">
      <c r="A15" s="3"/>
      <c r="B15" s="3"/>
      <c r="C15" s="3"/>
      <c r="D15" s="3"/>
      <c r="E15" s="3"/>
      <c r="F15" s="3"/>
      <c r="G15" s="3"/>
    </row>
    <row r="16">
      <c r="A16" s="3"/>
      <c r="B16" s="3"/>
      <c r="C16" s="3"/>
      <c r="D16" s="3"/>
      <c r="E16" s="3"/>
      <c r="F16" s="3"/>
      <c r="G16" s="3"/>
    </row>
    <row r="17">
      <c r="A17" s="3"/>
      <c r="B17" s="3"/>
      <c r="C17" s="3"/>
      <c r="D17" s="3"/>
      <c r="E17" s="3"/>
      <c r="F17" s="3"/>
      <c r="G17" s="3"/>
    </row>
    <row r="18">
      <c r="A18" s="3"/>
      <c r="B18" s="3"/>
      <c r="C18" s="3"/>
      <c r="D18" s="3"/>
      <c r="E18" s="3"/>
      <c r="F18" s="3"/>
      <c r="G18" s="3"/>
    </row>
    <row r="19">
      <c r="A19" s="3"/>
      <c r="B19" s="3"/>
      <c r="C19" s="3"/>
      <c r="D19" s="3"/>
      <c r="E19" s="3"/>
      <c r="F19" s="3"/>
      <c r="G19" s="3"/>
    </row>
    <row r="20">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3">
    <mergeCell ref="A1:G1"/>
    <mergeCell ref="A2:G2"/>
    <mergeCell ref="A12:B1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AE6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18.0"/>
    <col customWidth="1" min="3" max="4" width="14.0"/>
    <col customWidth="1" min="5" max="26" width="8.71"/>
  </cols>
  <sheetData>
    <row r="1" ht="30.0" customHeight="1">
      <c r="A1" s="17" t="s">
        <v>95</v>
      </c>
    </row>
    <row r="2" ht="15.0" customHeight="1">
      <c r="A2" s="2" t="s">
        <v>96</v>
      </c>
    </row>
    <row r="3">
      <c r="A3" s="3"/>
      <c r="B3" s="3"/>
      <c r="C3" s="3"/>
      <c r="D3" s="3"/>
    </row>
    <row r="4" ht="15.0" customHeight="1">
      <c r="A4" s="27" t="s">
        <v>97</v>
      </c>
      <c r="B4" s="27" t="s">
        <v>98</v>
      </c>
      <c r="C4" s="27" t="s">
        <v>99</v>
      </c>
      <c r="D4" s="27" t="s">
        <v>100</v>
      </c>
    </row>
    <row r="5" ht="15.0" customHeight="1">
      <c r="A5" s="15" t="s">
        <v>101</v>
      </c>
      <c r="B5" s="21"/>
      <c r="C5" s="5" t="s">
        <v>102</v>
      </c>
      <c r="D5" s="28" t="s">
        <v>103</v>
      </c>
    </row>
    <row r="6" ht="15.0" customHeight="1">
      <c r="A6" s="15" t="s">
        <v>104</v>
      </c>
      <c r="B6" s="29" t="str">
        <f>'1. Indexing Performance'!G25</f>
        <v/>
      </c>
      <c r="C6" s="5" t="s">
        <v>105</v>
      </c>
      <c r="D6" s="28" t="s">
        <v>106</v>
      </c>
    </row>
    <row r="7" ht="15.0" customHeight="1">
      <c r="A7" s="15" t="s">
        <v>107</v>
      </c>
      <c r="B7" s="29" t="str">
        <f>IFERROR('2. Query Accuracy'!D18, "")</f>
        <v/>
      </c>
      <c r="C7" s="5" t="s">
        <v>105</v>
      </c>
      <c r="D7" s="28" t="s">
        <v>106</v>
      </c>
    </row>
    <row r="8" ht="15.0" customHeight="1">
      <c r="A8" s="15" t="s">
        <v>108</v>
      </c>
      <c r="B8" s="30" t="str">
        <f>'2. Query Accuracy'!E19</f>
        <v/>
      </c>
      <c r="C8" s="5" t="s">
        <v>109</v>
      </c>
      <c r="D8" s="28" t="s">
        <v>106</v>
      </c>
    </row>
    <row r="9" ht="15.0" customHeight="1">
      <c r="A9" s="15" t="s">
        <v>110</v>
      </c>
      <c r="B9" s="30" t="str">
        <f>'2. Query Accuracy'!F19</f>
        <v/>
      </c>
      <c r="C9" s="5" t="s">
        <v>109</v>
      </c>
      <c r="D9" s="28" t="s">
        <v>106</v>
      </c>
    </row>
    <row r="10" ht="15.0" customHeight="1">
      <c r="A10" s="15" t="s">
        <v>69</v>
      </c>
      <c r="B10" s="29">
        <f>'2. Query Accuracy'!G20</f>
        <v>0</v>
      </c>
      <c r="C10" s="5" t="s">
        <v>111</v>
      </c>
      <c r="D10" s="28" t="s">
        <v>106</v>
      </c>
    </row>
    <row r="11" ht="15.0" customHeight="1">
      <c r="A11" s="15" t="s">
        <v>112</v>
      </c>
      <c r="B11" s="30" t="str">
        <f>'3. Edge Cases'!F12</f>
        <v/>
      </c>
      <c r="C11" s="5" t="s">
        <v>109</v>
      </c>
      <c r="D11" s="28" t="s">
        <v>106</v>
      </c>
    </row>
    <row r="12" ht="15.0" customHeight="1">
      <c r="A12" s="15" t="s">
        <v>113</v>
      </c>
      <c r="B12" s="21"/>
      <c r="C12" s="5" t="s">
        <v>114</v>
      </c>
      <c r="D12" s="28" t="s">
        <v>115</v>
      </c>
    </row>
    <row r="13" ht="15.0" customHeight="1">
      <c r="A13" s="15" t="s">
        <v>116</v>
      </c>
      <c r="B13" s="21"/>
      <c r="C13" s="5" t="s">
        <v>117</v>
      </c>
      <c r="D13" s="28" t="s">
        <v>115</v>
      </c>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2026-02-13T13:37:31Z</dcterms:created>
  <dc:creator>openpyxl</dc:creator>
</cp:coreProperties>
</file>

<file path=docProps/custom.xml><?xml version="1.0" encoding="utf-8"?>
<Properties xmlns="http://schemas.openxmlformats.org/officeDocument/2006/custom-properties" xmlns:vt="http://schemas.openxmlformats.org/officeDocument/2006/docPropsVTypes"/>
</file>